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13_ncr:1_{AB76C48D-228A-B940-BDD4-DF43EF198D63}" xr6:coauthVersionLast="47" xr6:coauthVersionMax="47" xr10:uidLastSave="{00000000-0000-0000-0000-000000000000}"/>
  <bookViews>
    <workbookView xWindow="3740" yWindow="1020" windowWidth="25500" windowHeight="16300" activeTab="3" xr2:uid="{A364C214-C64F-3440-8EF9-9104BE2F599B}"/>
  </bookViews>
  <sheets>
    <sheet name="Ansatte" sheetId="4" r:id="rId1"/>
    <sheet name="Fravær" sheetId="2" r:id="rId2"/>
    <sheet name="Engasjement" sheetId="3" r:id="rId3"/>
    <sheet name="Definisjoner" sheetId="1" r:id="rId4"/>
    <sheet name="Pivot" sheetId="6" r:id="rId5"/>
  </sheets>
  <calcPr calcId="18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3" i="1"/>
  <c r="C2" i="1"/>
  <c r="C7" i="1"/>
  <c r="C6" i="1"/>
  <c r="C5" i="1"/>
  <c r="C14" i="1"/>
  <c r="C13" i="1"/>
  <c r="C12" i="1"/>
  <c r="C11" i="1"/>
  <c r="C10" i="1" l="1"/>
  <c r="C9" i="1"/>
  <c r="C8" i="1"/>
</calcChain>
</file>

<file path=xl/sharedStrings.xml><?xml version="1.0" encoding="utf-8"?>
<sst xmlns="http://schemas.openxmlformats.org/spreadsheetml/2006/main" count="222" uniqueCount="109">
  <si>
    <t>ansatt_id</t>
  </si>
  <si>
    <t>A001</t>
  </si>
  <si>
    <t>team</t>
  </si>
  <si>
    <t>stilling</t>
  </si>
  <si>
    <t>ansattdato</t>
  </si>
  <si>
    <t>sluttdato</t>
  </si>
  <si>
    <t>årslønn</t>
  </si>
  <si>
    <t>stillingsprosent</t>
  </si>
  <si>
    <t>rekrutteringsmetode</t>
  </si>
  <si>
    <t>dager_til_ansettelse</t>
  </si>
  <si>
    <t>A002</t>
  </si>
  <si>
    <t>uønsket</t>
  </si>
  <si>
    <t>ustrukturert</t>
  </si>
  <si>
    <t>strukturert</t>
  </si>
  <si>
    <t>A003</t>
  </si>
  <si>
    <t>salg</t>
  </si>
  <si>
    <t>Key account manager</t>
  </si>
  <si>
    <t>kundesuksess</t>
  </si>
  <si>
    <t>Kundeansvarlig</t>
  </si>
  <si>
    <t>A004</t>
  </si>
  <si>
    <t>teknologi</t>
  </si>
  <si>
    <t>Utvikler</t>
  </si>
  <si>
    <t>A005</t>
  </si>
  <si>
    <t>Teamleder</t>
  </si>
  <si>
    <t>A006</t>
  </si>
  <si>
    <t>Supportkonsulent</t>
  </si>
  <si>
    <t>A007</t>
  </si>
  <si>
    <t>A008</t>
  </si>
  <si>
    <t>A009</t>
  </si>
  <si>
    <t>Salgsleder</t>
  </si>
  <si>
    <t>A010</t>
  </si>
  <si>
    <t>A011</t>
  </si>
  <si>
    <t>DevOps-ingeniør</t>
  </si>
  <si>
    <t>A012</t>
  </si>
  <si>
    <t>Data scientist</t>
  </si>
  <si>
    <t>A013</t>
  </si>
  <si>
    <t>UX-designer</t>
  </si>
  <si>
    <t>A014</t>
  </si>
  <si>
    <t>Produkteier</t>
  </si>
  <si>
    <t>A015</t>
  </si>
  <si>
    <t>markedsføring</t>
  </si>
  <si>
    <t>Markedsrådgiver</t>
  </si>
  <si>
    <t>A016</t>
  </si>
  <si>
    <t>Innholdsprodusent</t>
  </si>
  <si>
    <t>A017</t>
  </si>
  <si>
    <t>HR-rådgiver</t>
  </si>
  <si>
    <t>A018</t>
  </si>
  <si>
    <t>Controller</t>
  </si>
  <si>
    <t>A019</t>
  </si>
  <si>
    <t>ledergruppen</t>
  </si>
  <si>
    <t>CFO</t>
  </si>
  <si>
    <t>A020</t>
  </si>
  <si>
    <t>måned</t>
  </si>
  <si>
    <t>avtalte_dagsverk</t>
  </si>
  <si>
    <t>tapte_dagsverk_korttid</t>
  </si>
  <si>
    <t>tapte_dagsverk_langtid</t>
  </si>
  <si>
    <t>2026-08</t>
  </si>
  <si>
    <t>2026-09</t>
  </si>
  <si>
    <t>økonomi og hr</t>
  </si>
  <si>
    <t>kvartal</t>
  </si>
  <si>
    <t>enps</t>
  </si>
  <si>
    <t>antall_svar</t>
  </si>
  <si>
    <t>2026-K2</t>
  </si>
  <si>
    <t>2026-K3</t>
  </si>
  <si>
    <t>produktutvikling</t>
  </si>
  <si>
    <t>SDR</t>
  </si>
  <si>
    <t>Metrikk</t>
  </si>
  <si>
    <t>Forklaring</t>
  </si>
  <si>
    <t>Resultat</t>
  </si>
  <si>
    <t>iso_område</t>
  </si>
  <si>
    <t>sluttårsak</t>
  </si>
  <si>
    <t>frivillig</t>
  </si>
  <si>
    <t>ufrivillig</t>
  </si>
  <si>
    <t>nei</t>
  </si>
  <si>
    <t>ja</t>
  </si>
  <si>
    <t>Sluttet totalt</t>
  </si>
  <si>
    <t>Alle som har sluttet</t>
  </si>
  <si>
    <t>Turnover</t>
  </si>
  <si>
    <t>Sa opp selv</t>
  </si>
  <si>
    <t>Sluttårsak er frivillig</t>
  </si>
  <si>
    <t>Uønsket turnover (antall)</t>
  </si>
  <si>
    <t>Sluttet, og vi ville beholdt dem</t>
  </si>
  <si>
    <t>Ansatte ved periodestart</t>
  </si>
  <si>
    <t>Ansatt før 1.10.2025</t>
  </si>
  <si>
    <t>Arbeidsstyrkens sammensetning</t>
  </si>
  <si>
    <t>Ansatte nå</t>
  </si>
  <si>
    <t>Har ingen sluttdato</t>
  </si>
  <si>
    <t>Snitt ansatte</t>
  </si>
  <si>
    <t>(start + nå) / 2</t>
  </si>
  <si>
    <t>Total turnover</t>
  </si>
  <si>
    <t>Sluttet totalt / snitt ansatte</t>
  </si>
  <si>
    <t>Frivillig turnover</t>
  </si>
  <si>
    <t>Sa opp selv / snitt ansatte</t>
  </si>
  <si>
    <t>Uønsket turnover</t>
  </si>
  <si>
    <t>Uønsket / snitt ansatte</t>
  </si>
  <si>
    <t>Kostnad uønsket turnover</t>
  </si>
  <si>
    <t>Sum årslønn uønskede x 75 %</t>
  </si>
  <si>
    <t>Kostnader</t>
  </si>
  <si>
    <t>Sykefravær</t>
  </si>
  <si>
    <t>Tapte / avtalte dagsverk</t>
  </si>
  <si>
    <t>Helse, sikkerhet og trivsel</t>
  </si>
  <si>
    <t>Langtidsfravær</t>
  </si>
  <si>
    <t>Tapte langtid / avtalte dagsverk</t>
  </si>
  <si>
    <t>Tid til ansettelse</t>
  </si>
  <si>
    <t>Median antall dager</t>
  </si>
  <si>
    <t>Rekruttering</t>
  </si>
  <si>
    <t>Row Labels</t>
  </si>
  <si>
    <t>Grand Total</t>
  </si>
  <si>
    <t>Count of ansatt_id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</si>
</sst>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9" formatCode="0.0%"/>
    <numFmt numFmtId="172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164" fontId="0" fillId="0" borderId="0" xfId="0" applyNumberFormat="1" applyAlignment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/>
    <xf numFmtId="0" fontId="2" fillId="0" borderId="0" xfId="0" applyFont="1"/>
    <xf numFmtId="169" fontId="0" fillId="0" borderId="0" xfId="2" applyNumberFormat="1" applyFont="1"/>
    <xf numFmtId="172" fontId="0" fillId="0" borderId="0" xfId="1" applyNumberFormat="1" applyFont="1"/>
    <xf numFmtId="0" fontId="0" fillId="0" borderId="0" xfId="0" pivotButton="1"/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1">
    <dxf>
      <alignment horizontal="general" vertical="bottom" textRotation="0" wrapText="0" indent="0" justifyLastLine="0" shrinkToFit="0" readingOrder="0"/>
    </dxf>
    <dxf>
      <numFmt numFmtId="30" formatCode="@"/>
    </dxf>
    <dxf>
      <numFmt numFmtId="164" formatCode="yyyy\-mm\-dd"/>
      <alignment vertical="bottom" textRotation="0" wrapText="0" indent="0" justifyLastLine="0" shrinkToFit="0" readingOrder="0"/>
    </dxf>
    <dxf>
      <numFmt numFmtId="164" formatCode="yyyy\-mm\-dd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46304.499074074076" createdVersion="8" refreshedVersion="8" minRefreshableVersion="3" recordCount="20" xr:uid="{755692EE-C5EE-9A49-877B-6047224CB89D}">
  <cacheSource type="worksheet">
    <worksheetSource name="Ansatte"/>
  </cacheSource>
  <cacheFields count="11">
    <cacheField name="ansatt_id" numFmtId="0">
      <sharedItems count="20">
        <s v="A001"/>
        <s v="A002"/>
        <s v="A003"/>
        <s v="A004"/>
        <s v="A005"/>
        <s v="A006"/>
        <s v="A007"/>
        <s v="A008"/>
        <s v="A009"/>
        <s v="A010"/>
        <s v="A011"/>
        <s v="A012"/>
        <s v="A013"/>
        <s v="A014"/>
        <s v="A015"/>
        <s v="A016"/>
        <s v="A017"/>
        <s v="A018"/>
        <s v="A019"/>
        <s v="A020"/>
      </sharedItems>
    </cacheField>
    <cacheField name="team" numFmtId="0">
      <sharedItems count="7">
        <s v="salg"/>
        <s v="kundesuksess"/>
        <s v="teknologi"/>
        <s v="produktutvikling"/>
        <s v="markedsføring"/>
        <s v="økonomi og hr"/>
        <s v="ledergruppen"/>
      </sharedItems>
    </cacheField>
    <cacheField name="stilling" numFmtId="0">
      <sharedItems/>
    </cacheField>
    <cacheField name="ansattdato" numFmtId="164">
      <sharedItems containsSemiMixedTypes="0" containsNonDate="0" containsDate="1" containsString="0" minDate="2018-03-01T00:00:00" maxDate="2025-09-02T00:00:00"/>
    </cacheField>
    <cacheField name="sluttdato" numFmtId="164">
      <sharedItems containsNonDate="0" containsDate="1" containsString="0" containsBlank="1" minDate="2025-10-31T00:00:00" maxDate="2026-07-01T00:00:00"/>
    </cacheField>
    <cacheField name="sluttårsak" numFmtId="0">
      <sharedItems containsBlank="1"/>
    </cacheField>
    <cacheField name="uønsket" numFmtId="0">
      <sharedItems containsBlank="1" count="3">
        <s v="ja"/>
        <m/>
        <s v="nei"/>
      </sharedItems>
    </cacheField>
    <cacheField name="årslønn" numFmtId="0">
      <sharedItems containsSemiMixedTypes="0" containsString="0" containsNumber="1" containsInteger="1" minValue="550000" maxValue="1800000"/>
    </cacheField>
    <cacheField name="stillingsprosent" numFmtId="0">
      <sharedItems containsSemiMixedTypes="0" containsString="0" containsNumber="1" containsInteger="1" minValue="80" maxValue="100"/>
    </cacheField>
    <cacheField name="rekrutteringsmetode" numFmtId="0">
      <sharedItems containsBlank="1"/>
    </cacheField>
    <cacheField name="dager_til_ansettelse" numFmtId="0">
      <sharedItems containsString="0" containsBlank="1" containsNumber="1" containsInteger="1" minValue="21" maxValue="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s v="Key account manager"/>
    <d v="2022-03-01T00:00:00"/>
    <d v="2025-11-30T00:00:00"/>
    <s v="frivillig"/>
    <x v="0"/>
    <n v="780000"/>
    <n v="100"/>
    <s v="ustrukturert"/>
    <n v="41"/>
  </r>
  <r>
    <x v="1"/>
    <x v="0"/>
    <s v="SDR"/>
    <d v="2024-08-15T00:00:00"/>
    <m/>
    <m/>
    <x v="1"/>
    <n v="650000"/>
    <n v="100"/>
    <s v="strukturert"/>
    <n v="35"/>
  </r>
  <r>
    <x v="2"/>
    <x v="1"/>
    <s v="Kundeansvarlig"/>
    <d v="2025-01-06T00:00:00"/>
    <d v="2025-10-31T00:00:00"/>
    <s v="frivillig"/>
    <x v="2"/>
    <n v="590000"/>
    <n v="100"/>
    <s v="ustrukturert"/>
    <n v="28"/>
  </r>
  <r>
    <x v="3"/>
    <x v="2"/>
    <s v="Utvikler"/>
    <d v="2021-05-10T00:00:00"/>
    <m/>
    <m/>
    <x v="1"/>
    <n v="920000"/>
    <n v="100"/>
    <s v="strukturert"/>
    <n v="58"/>
  </r>
  <r>
    <x v="4"/>
    <x v="1"/>
    <s v="Teamleder"/>
    <d v="2020-02-01T00:00:00"/>
    <d v="2026-04-30T00:00:00"/>
    <s v="frivillig"/>
    <x v="0"/>
    <n v="720000"/>
    <n v="80"/>
    <s v="strukturert"/>
    <n v="45"/>
  </r>
  <r>
    <x v="5"/>
    <x v="1"/>
    <s v="Supportkonsulent"/>
    <d v="2025-09-01T00:00:00"/>
    <d v="2026-03-31T00:00:00"/>
    <s v="ufrivillig"/>
    <x v="2"/>
    <n v="560000"/>
    <n v="100"/>
    <s v="ustrukturert"/>
    <n v="21"/>
  </r>
  <r>
    <x v="6"/>
    <x v="1"/>
    <s v="Kundeansvarlig"/>
    <d v="2023-04-17T00:00:00"/>
    <m/>
    <m/>
    <x v="1"/>
    <n v="600000"/>
    <n v="100"/>
    <s v="strukturert"/>
    <n v="34"/>
  </r>
  <r>
    <x v="7"/>
    <x v="0"/>
    <s v="SDR"/>
    <d v="2025-06-02T00:00:00"/>
    <d v="2026-02-28T00:00:00"/>
    <s v="frivillig"/>
    <x v="0"/>
    <n v="640000"/>
    <n v="100"/>
    <s v="ustrukturert"/>
    <n v="30"/>
  </r>
  <r>
    <x v="8"/>
    <x v="0"/>
    <s v="Salgsleder"/>
    <d v="2019-09-01T00:00:00"/>
    <m/>
    <m/>
    <x v="1"/>
    <n v="1050000"/>
    <n v="100"/>
    <m/>
    <m/>
  </r>
  <r>
    <x v="9"/>
    <x v="2"/>
    <s v="Utvikler"/>
    <d v="2024-01-08T00:00:00"/>
    <d v="2026-06-30T00:00:00"/>
    <s v="frivillig"/>
    <x v="0"/>
    <n v="880000"/>
    <n v="100"/>
    <s v="ustrukturert"/>
    <n v="62"/>
  </r>
  <r>
    <x v="10"/>
    <x v="2"/>
    <s v="DevOps-ingeniør"/>
    <d v="2022-10-03T00:00:00"/>
    <m/>
    <m/>
    <x v="1"/>
    <n v="940000"/>
    <n v="100"/>
    <s v="strukturert"/>
    <n v="55"/>
  </r>
  <r>
    <x v="11"/>
    <x v="2"/>
    <s v="Data scientist"/>
    <d v="2025-03-03T00:00:00"/>
    <m/>
    <m/>
    <x v="1"/>
    <n v="910000"/>
    <n v="100"/>
    <s v="strukturert"/>
    <n v="67"/>
  </r>
  <r>
    <x v="12"/>
    <x v="3"/>
    <s v="UX-designer"/>
    <d v="2023-08-14T00:00:00"/>
    <m/>
    <m/>
    <x v="1"/>
    <n v="820000"/>
    <n v="100"/>
    <s v="strukturert"/>
    <n v="48"/>
  </r>
  <r>
    <x v="13"/>
    <x v="3"/>
    <s v="Produkteier"/>
    <d v="2021-11-01T00:00:00"/>
    <d v="2026-01-31T00:00:00"/>
    <s v="ufrivillig"/>
    <x v="2"/>
    <n v="900000"/>
    <n v="100"/>
    <s v="ustrukturert"/>
    <n v="52"/>
  </r>
  <r>
    <x v="14"/>
    <x v="4"/>
    <s v="Markedsrådgiver"/>
    <d v="2024-05-06T00:00:00"/>
    <m/>
    <m/>
    <x v="1"/>
    <n v="640000"/>
    <n v="80"/>
    <s v="strukturert"/>
    <n v="39"/>
  </r>
  <r>
    <x v="15"/>
    <x v="4"/>
    <s v="Innholdsprodusent"/>
    <d v="2025-02-10T00:00:00"/>
    <d v="2025-12-31T00:00:00"/>
    <s v="frivillig"/>
    <x v="0"/>
    <n v="580000"/>
    <n v="100"/>
    <s v="ustrukturert"/>
    <n v="33"/>
  </r>
  <r>
    <x v="16"/>
    <x v="5"/>
    <s v="HR-rådgiver"/>
    <d v="2020-06-15T00:00:00"/>
    <m/>
    <m/>
    <x v="1"/>
    <n v="690000"/>
    <n v="100"/>
    <s v="strukturert"/>
    <n v="44"/>
  </r>
  <r>
    <x v="17"/>
    <x v="5"/>
    <s v="Controller"/>
    <d v="2022-01-10T00:00:00"/>
    <m/>
    <m/>
    <x v="1"/>
    <n v="780000"/>
    <n v="100"/>
    <s v="strukturert"/>
    <n v="50"/>
  </r>
  <r>
    <x v="18"/>
    <x v="6"/>
    <s v="CFO"/>
    <d v="2018-03-01T00:00:00"/>
    <m/>
    <m/>
    <x v="1"/>
    <n v="1800000"/>
    <n v="100"/>
    <m/>
    <m/>
  </r>
  <r>
    <x v="19"/>
    <x v="1"/>
    <s v="Supportkonsulent"/>
    <d v="2024-02-19T00:00:00"/>
    <m/>
    <m/>
    <x v="1"/>
    <n v="550000"/>
    <n v="100"/>
    <s v="strukturert"/>
    <n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C9002-FAF9-CF45-A578-23D86524C6A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1">
    <pivotField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8">
        <item x="1"/>
        <item x="6"/>
        <item x="4"/>
        <item x="5"/>
        <item x="3"/>
        <item x="0"/>
        <item x="2"/>
        <item t="default"/>
      </items>
    </pivotField>
    <pivotField showAll="0"/>
    <pivotField numFmtId="164" showAll="0"/>
    <pivotField showAll="0"/>
    <pivotField showAll="0"/>
    <pivotField axis="axisPage" multipleItemSelectionAllowed="1" showAll="0">
      <items count="4">
        <item x="0"/>
        <item h="1" x="2"/>
        <item h="1"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5">
    <i>
      <x/>
    </i>
    <i>
      <x v="2"/>
    </i>
    <i>
      <x v="5"/>
    </i>
    <i>
      <x v="6"/>
    </i>
    <i t="grand">
      <x/>
    </i>
  </rowItems>
  <colItems count="1">
    <i/>
  </colItems>
  <pageFields count="1">
    <pageField fld="6" hier="-1"/>
  </pageFields>
  <dataFields count="1">
    <dataField name="Count of ansat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C65ACF-4019-A842-8566-33A9AC5EE5FA}" name="Ansatte" displayName="Ansatte" ref="A1:K21" totalsRowShown="0" dataDxfId="4">
  <autoFilter ref="A1:K21" xr:uid="{AFC65ACF-4019-A842-8566-33A9AC5EE5FA}"/>
  <tableColumns count="11">
    <tableColumn id="1" xr3:uid="{442E5354-3C55-604C-9F34-E68F5FF0CAE9}" name="ansatt_id" dataDxfId="10"/>
    <tableColumn id="2" xr3:uid="{4265BE86-728F-D840-87B5-6E7DF7359B64}" name="team" dataDxfId="9"/>
    <tableColumn id="3" xr3:uid="{0D0C9B3F-8989-1F4C-9A55-89E6946BB155}" name="stilling" dataDxfId="8"/>
    <tableColumn id="4" xr3:uid="{1485DED6-0669-3C40-AE4F-36DAB38A35CE}" name="ansattdato" dataDxfId="3"/>
    <tableColumn id="5" xr3:uid="{B1BEBBC6-8530-DC4E-8772-5E95DD34F6EF}" name="sluttdato" dataDxfId="2"/>
    <tableColumn id="6" xr3:uid="{DB7774D3-25AB-714F-8B0A-FF6511A25546}" name="sluttårsak" dataDxfId="7"/>
    <tableColumn id="11" xr3:uid="{548E7E3A-EF10-DD4A-9340-55842C9F5639}" name="uønsket" dataDxfId="0"/>
    <tableColumn id="7" xr3:uid="{D43EFBF1-EEA8-5A4E-899F-12E54390FDA5}" name="årslønn" dataDxfId="6"/>
    <tableColumn id="8" xr3:uid="{763E89C5-25BE-BF45-9049-860521A5E3CC}" name="stillingsprosent"/>
    <tableColumn id="9" xr3:uid="{500CB888-3EC2-E544-B3D7-9833F4396422}" name="rekrutteringsmetode" dataDxfId="5"/>
    <tableColumn id="10" xr3:uid="{F6893DBD-83D1-3C41-8B74-78E06A99B6EB}" name="dager_til_ansettel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A740B1-6BA0-BD40-8EB8-BEDA161FFFA6}" name="Fravær" displayName="Fravær" ref="A1:E15" totalsRowShown="0">
  <autoFilter ref="A1:E15" xr:uid="{E0A740B1-6BA0-BD40-8EB8-BEDA161FFFA6}"/>
  <tableColumns count="5">
    <tableColumn id="1" xr3:uid="{B4D659AC-C96E-B047-95B4-DCAED77392E0}" name="team"/>
    <tableColumn id="2" xr3:uid="{E9EF7DF7-3A11-2644-A24A-BC88862292A4}" name="måned" dataDxfId="1"/>
    <tableColumn id="3" xr3:uid="{E8AC6DF2-2CCF-194C-87F1-F597C81E1AB4}" name="avtalte_dagsverk"/>
    <tableColumn id="4" xr3:uid="{9B8F107D-5FAD-E34F-B897-D90C7DDC4F15}" name="tapte_dagsverk_korttid"/>
    <tableColumn id="5" xr3:uid="{D62412D8-47CB-134E-9952-504E86DA05DD}" name="tapte_dagsverk_langt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97804A-0406-1C4F-9048-1DB0778CB009}" name="Engasjement" displayName="Engasjement" ref="A1:D15" totalsRowShown="0">
  <autoFilter ref="A1:D15" xr:uid="{1F97804A-0406-1C4F-9048-1DB0778CB009}"/>
  <tableColumns count="4">
    <tableColumn id="1" xr3:uid="{A3039E22-BB6C-5845-836A-2B560FC66FE6}" name="team"/>
    <tableColumn id="2" xr3:uid="{71AB4CEC-2D1E-9949-971F-740AC5111E49}" name="kvartal"/>
    <tableColumn id="3" xr3:uid="{18FEE30E-CB2E-E34E-9915-0E440AADF701}" name="enps"/>
    <tableColumn id="4" xr3:uid="{113500B6-EA2A-DD40-9F4E-C8A923ED252B}" name="antall_sv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0056-60B0-2D44-98F1-85C613E9F2C1}">
  <dimension ref="A1:K85"/>
  <sheetViews>
    <sheetView workbookViewId="0">
      <pane ySplit="1" topLeftCell="A2" activePane="bottomLeft" state="frozen"/>
      <selection pane="bottomLeft" activeCell="C26" sqref="C26"/>
    </sheetView>
  </sheetViews>
  <sheetFormatPr baseColWidth="10" defaultRowHeight="16" x14ac:dyDescent="0.2"/>
  <cols>
    <col min="1" max="2" width="14.6640625" customWidth="1"/>
    <col min="3" max="3" width="29.33203125" customWidth="1"/>
    <col min="4" max="4" width="14.83203125" style="4" customWidth="1"/>
    <col min="5" max="5" width="14.6640625" style="4" customWidth="1"/>
    <col min="8" max="8" width="16.5" customWidth="1"/>
    <col min="9" max="9" width="22" customWidth="1"/>
    <col min="10" max="10" width="20.83203125" customWidth="1"/>
    <col min="11" max="11" width="21" customWidth="1"/>
  </cols>
  <sheetData>
    <row r="1" spans="1:11" x14ac:dyDescent="0.2">
      <c r="A1" t="s">
        <v>0</v>
      </c>
      <c r="B1" t="s">
        <v>2</v>
      </c>
      <c r="C1" t="s">
        <v>3</v>
      </c>
      <c r="D1" s="4" t="s">
        <v>4</v>
      </c>
      <c r="E1" s="4" t="s">
        <v>5</v>
      </c>
      <c r="F1" t="s">
        <v>70</v>
      </c>
      <c r="G1" t="s">
        <v>11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s="1" t="s">
        <v>1</v>
      </c>
      <c r="B2" s="1" t="s">
        <v>15</v>
      </c>
      <c r="C2" s="1" t="s">
        <v>16</v>
      </c>
      <c r="D2" s="5">
        <v>44621</v>
      </c>
      <c r="E2" s="5">
        <v>45991</v>
      </c>
      <c r="F2" s="1" t="s">
        <v>71</v>
      </c>
      <c r="G2" s="1" t="s">
        <v>74</v>
      </c>
      <c r="H2" s="6">
        <v>780000</v>
      </c>
      <c r="I2">
        <v>100</v>
      </c>
      <c r="J2" s="1" t="s">
        <v>12</v>
      </c>
      <c r="K2">
        <v>41</v>
      </c>
    </row>
    <row r="3" spans="1:11" x14ac:dyDescent="0.2">
      <c r="A3" s="2" t="s">
        <v>10</v>
      </c>
      <c r="B3" s="2" t="s">
        <v>15</v>
      </c>
      <c r="C3" s="2" t="s">
        <v>65</v>
      </c>
      <c r="D3" s="4">
        <v>45519</v>
      </c>
      <c r="E3" s="3"/>
      <c r="F3" s="2"/>
      <c r="G3" s="2"/>
      <c r="H3" s="6">
        <v>650000</v>
      </c>
      <c r="I3">
        <v>100</v>
      </c>
      <c r="J3" s="2" t="s">
        <v>13</v>
      </c>
      <c r="K3">
        <v>35</v>
      </c>
    </row>
    <row r="4" spans="1:11" x14ac:dyDescent="0.2">
      <c r="A4" s="2" t="s">
        <v>14</v>
      </c>
      <c r="B4" s="2" t="s">
        <v>17</v>
      </c>
      <c r="C4" s="2" t="s">
        <v>18</v>
      </c>
      <c r="D4" s="3">
        <v>45663</v>
      </c>
      <c r="E4" s="3">
        <v>45961</v>
      </c>
      <c r="F4" s="2" t="s">
        <v>71</v>
      </c>
      <c r="G4" s="2" t="s">
        <v>73</v>
      </c>
      <c r="H4" s="6">
        <v>590000</v>
      </c>
      <c r="I4">
        <v>100</v>
      </c>
      <c r="J4" s="2" t="s">
        <v>12</v>
      </c>
      <c r="K4">
        <v>28</v>
      </c>
    </row>
    <row r="5" spans="1:11" x14ac:dyDescent="0.2">
      <c r="A5" s="2" t="s">
        <v>19</v>
      </c>
      <c r="B5" s="2" t="s">
        <v>20</v>
      </c>
      <c r="C5" s="2" t="s">
        <v>21</v>
      </c>
      <c r="D5" s="3">
        <v>44326</v>
      </c>
      <c r="E5" s="3"/>
      <c r="F5" s="2"/>
      <c r="G5" s="2"/>
      <c r="H5" s="6">
        <v>920000</v>
      </c>
      <c r="I5">
        <v>100</v>
      </c>
      <c r="J5" s="2" t="s">
        <v>13</v>
      </c>
      <c r="K5">
        <v>58</v>
      </c>
    </row>
    <row r="6" spans="1:11" x14ac:dyDescent="0.2">
      <c r="A6" s="2" t="s">
        <v>22</v>
      </c>
      <c r="B6" s="2" t="s">
        <v>17</v>
      </c>
      <c r="C6" s="2" t="s">
        <v>23</v>
      </c>
      <c r="D6" s="3">
        <v>43862</v>
      </c>
      <c r="E6" s="3">
        <v>46142</v>
      </c>
      <c r="F6" s="2" t="s">
        <v>71</v>
      </c>
      <c r="G6" s="2" t="s">
        <v>74</v>
      </c>
      <c r="H6" s="6">
        <v>720000</v>
      </c>
      <c r="I6">
        <v>80</v>
      </c>
      <c r="J6" s="2" t="s">
        <v>13</v>
      </c>
      <c r="K6">
        <v>45</v>
      </c>
    </row>
    <row r="7" spans="1:11" x14ac:dyDescent="0.2">
      <c r="A7" s="2" t="s">
        <v>24</v>
      </c>
      <c r="B7" s="2" t="s">
        <v>17</v>
      </c>
      <c r="C7" s="2" t="s">
        <v>25</v>
      </c>
      <c r="D7" s="3">
        <v>45901</v>
      </c>
      <c r="E7" s="3">
        <v>46112</v>
      </c>
      <c r="F7" s="2" t="s">
        <v>72</v>
      </c>
      <c r="G7" s="2" t="s">
        <v>73</v>
      </c>
      <c r="H7" s="6">
        <v>560000</v>
      </c>
      <c r="I7">
        <v>100</v>
      </c>
      <c r="J7" s="2" t="s">
        <v>12</v>
      </c>
      <c r="K7">
        <v>21</v>
      </c>
    </row>
    <row r="8" spans="1:11" x14ac:dyDescent="0.2">
      <c r="A8" s="2" t="s">
        <v>26</v>
      </c>
      <c r="B8" s="2" t="s">
        <v>17</v>
      </c>
      <c r="C8" s="2" t="s">
        <v>18</v>
      </c>
      <c r="D8" s="3">
        <v>45033</v>
      </c>
      <c r="E8" s="3"/>
      <c r="F8" s="2"/>
      <c r="G8" s="2"/>
      <c r="H8" s="6">
        <v>600000</v>
      </c>
      <c r="I8">
        <v>100</v>
      </c>
      <c r="J8" s="2" t="s">
        <v>13</v>
      </c>
      <c r="K8">
        <v>34</v>
      </c>
    </row>
    <row r="9" spans="1:11" x14ac:dyDescent="0.2">
      <c r="A9" s="2" t="s">
        <v>27</v>
      </c>
      <c r="B9" s="2" t="s">
        <v>15</v>
      </c>
      <c r="C9" s="2" t="s">
        <v>65</v>
      </c>
      <c r="D9" s="3">
        <v>45810</v>
      </c>
      <c r="E9" s="3">
        <v>46081</v>
      </c>
      <c r="F9" s="2" t="s">
        <v>71</v>
      </c>
      <c r="G9" s="2" t="s">
        <v>74</v>
      </c>
      <c r="H9" s="6">
        <v>640000</v>
      </c>
      <c r="I9">
        <v>100</v>
      </c>
      <c r="J9" s="2" t="s">
        <v>12</v>
      </c>
      <c r="K9">
        <v>30</v>
      </c>
    </row>
    <row r="10" spans="1:11" x14ac:dyDescent="0.2">
      <c r="A10" s="2" t="s">
        <v>28</v>
      </c>
      <c r="B10" s="2" t="s">
        <v>15</v>
      </c>
      <c r="C10" s="2" t="s">
        <v>29</v>
      </c>
      <c r="D10" s="3">
        <v>43709</v>
      </c>
      <c r="E10" s="3"/>
      <c r="F10" s="2"/>
      <c r="G10" s="2"/>
      <c r="H10" s="6">
        <v>1050000</v>
      </c>
      <c r="I10">
        <v>100</v>
      </c>
      <c r="J10" s="2"/>
    </row>
    <row r="11" spans="1:11" x14ac:dyDescent="0.2">
      <c r="A11" s="2" t="s">
        <v>30</v>
      </c>
      <c r="B11" s="2" t="s">
        <v>20</v>
      </c>
      <c r="C11" s="2" t="s">
        <v>21</v>
      </c>
      <c r="D11" s="3">
        <v>45299</v>
      </c>
      <c r="E11" s="3">
        <v>46203</v>
      </c>
      <c r="F11" s="2" t="s">
        <v>71</v>
      </c>
      <c r="G11" s="2" t="s">
        <v>74</v>
      </c>
      <c r="H11" s="6">
        <v>880000</v>
      </c>
      <c r="I11">
        <v>100</v>
      </c>
      <c r="J11" s="2" t="s">
        <v>12</v>
      </c>
      <c r="K11">
        <v>62</v>
      </c>
    </row>
    <row r="12" spans="1:11" x14ac:dyDescent="0.2">
      <c r="A12" s="2" t="s">
        <v>31</v>
      </c>
      <c r="B12" s="2" t="s">
        <v>20</v>
      </c>
      <c r="C12" s="2" t="s">
        <v>32</v>
      </c>
      <c r="D12" s="3">
        <v>44837</v>
      </c>
      <c r="E12" s="3"/>
      <c r="F12" s="2"/>
      <c r="G12" s="2"/>
      <c r="H12" s="6">
        <v>940000</v>
      </c>
      <c r="I12">
        <v>100</v>
      </c>
      <c r="J12" s="2" t="s">
        <v>13</v>
      </c>
      <c r="K12">
        <v>55</v>
      </c>
    </row>
    <row r="13" spans="1:11" x14ac:dyDescent="0.2">
      <c r="A13" s="2" t="s">
        <v>33</v>
      </c>
      <c r="B13" s="2" t="s">
        <v>20</v>
      </c>
      <c r="C13" s="2" t="s">
        <v>34</v>
      </c>
      <c r="D13" s="3">
        <v>45719</v>
      </c>
      <c r="E13" s="3"/>
      <c r="F13" s="2"/>
      <c r="G13" s="2"/>
      <c r="H13" s="6">
        <v>910000</v>
      </c>
      <c r="I13">
        <v>100</v>
      </c>
      <c r="J13" s="2" t="s">
        <v>13</v>
      </c>
      <c r="K13">
        <v>67</v>
      </c>
    </row>
    <row r="14" spans="1:11" x14ac:dyDescent="0.2">
      <c r="A14" s="2" t="s">
        <v>35</v>
      </c>
      <c r="B14" s="2" t="s">
        <v>64</v>
      </c>
      <c r="C14" s="2" t="s">
        <v>36</v>
      </c>
      <c r="D14" s="3">
        <v>45152</v>
      </c>
      <c r="E14" s="3"/>
      <c r="F14" s="2"/>
      <c r="G14" s="2"/>
      <c r="H14" s="6">
        <v>820000</v>
      </c>
      <c r="I14">
        <v>100</v>
      </c>
      <c r="J14" s="2" t="s">
        <v>13</v>
      </c>
      <c r="K14">
        <v>48</v>
      </c>
    </row>
    <row r="15" spans="1:11" x14ac:dyDescent="0.2">
      <c r="A15" s="2" t="s">
        <v>37</v>
      </c>
      <c r="B15" s="2" t="s">
        <v>64</v>
      </c>
      <c r="C15" s="2" t="s">
        <v>38</v>
      </c>
      <c r="D15" s="3">
        <v>44501</v>
      </c>
      <c r="E15" s="3">
        <v>46053</v>
      </c>
      <c r="F15" s="2" t="s">
        <v>72</v>
      </c>
      <c r="G15" s="2" t="s">
        <v>73</v>
      </c>
      <c r="H15" s="6">
        <v>900000</v>
      </c>
      <c r="I15">
        <v>100</v>
      </c>
      <c r="J15" s="2" t="s">
        <v>12</v>
      </c>
      <c r="K15">
        <v>52</v>
      </c>
    </row>
    <row r="16" spans="1:11" x14ac:dyDescent="0.2">
      <c r="A16" s="2" t="s">
        <v>39</v>
      </c>
      <c r="B16" s="2" t="s">
        <v>40</v>
      </c>
      <c r="C16" s="2" t="s">
        <v>41</v>
      </c>
      <c r="D16" s="3">
        <v>45418</v>
      </c>
      <c r="E16" s="3"/>
      <c r="F16" s="2"/>
      <c r="G16" s="2"/>
      <c r="H16" s="6">
        <v>640000</v>
      </c>
      <c r="I16">
        <v>80</v>
      </c>
      <c r="J16" s="2" t="s">
        <v>13</v>
      </c>
      <c r="K16">
        <v>39</v>
      </c>
    </row>
    <row r="17" spans="1:11" x14ac:dyDescent="0.2">
      <c r="A17" s="2" t="s">
        <v>42</v>
      </c>
      <c r="B17" s="2" t="s">
        <v>40</v>
      </c>
      <c r="C17" s="2" t="s">
        <v>43</v>
      </c>
      <c r="D17" s="3">
        <v>45698</v>
      </c>
      <c r="E17" s="3">
        <v>46022</v>
      </c>
      <c r="F17" s="2" t="s">
        <v>71</v>
      </c>
      <c r="G17" s="2" t="s">
        <v>74</v>
      </c>
      <c r="H17" s="6">
        <v>580000</v>
      </c>
      <c r="I17">
        <v>100</v>
      </c>
      <c r="J17" s="2" t="s">
        <v>12</v>
      </c>
      <c r="K17">
        <v>33</v>
      </c>
    </row>
    <row r="18" spans="1:11" x14ac:dyDescent="0.2">
      <c r="A18" s="2" t="s">
        <v>44</v>
      </c>
      <c r="B18" s="2" t="s">
        <v>58</v>
      </c>
      <c r="C18" s="2" t="s">
        <v>45</v>
      </c>
      <c r="D18" s="3">
        <v>43997</v>
      </c>
      <c r="E18" s="3"/>
      <c r="F18" s="2"/>
      <c r="G18" s="2"/>
      <c r="H18" s="6">
        <v>690000</v>
      </c>
      <c r="I18">
        <v>100</v>
      </c>
      <c r="J18" s="2" t="s">
        <v>13</v>
      </c>
      <c r="K18">
        <v>44</v>
      </c>
    </row>
    <row r="19" spans="1:11" x14ac:dyDescent="0.2">
      <c r="A19" s="2" t="s">
        <v>46</v>
      </c>
      <c r="B19" s="2" t="s">
        <v>58</v>
      </c>
      <c r="C19" s="2" t="s">
        <v>47</v>
      </c>
      <c r="D19" s="3">
        <v>44571</v>
      </c>
      <c r="E19" s="3"/>
      <c r="F19" s="2"/>
      <c r="G19" s="2"/>
      <c r="H19" s="6">
        <v>780000</v>
      </c>
      <c r="I19">
        <v>100</v>
      </c>
      <c r="J19" s="2" t="s">
        <v>13</v>
      </c>
      <c r="K19">
        <v>50</v>
      </c>
    </row>
    <row r="20" spans="1:11" x14ac:dyDescent="0.2">
      <c r="A20" s="2" t="s">
        <v>48</v>
      </c>
      <c r="B20" s="2" t="s">
        <v>49</v>
      </c>
      <c r="C20" s="2" t="s">
        <v>50</v>
      </c>
      <c r="D20" s="3">
        <v>43160</v>
      </c>
      <c r="E20" s="3"/>
      <c r="F20" s="2"/>
      <c r="G20" s="2"/>
      <c r="H20" s="6">
        <v>1800000</v>
      </c>
      <c r="I20">
        <v>100</v>
      </c>
      <c r="J20" s="2"/>
    </row>
    <row r="21" spans="1:11" x14ac:dyDescent="0.2">
      <c r="A21" s="2" t="s">
        <v>51</v>
      </c>
      <c r="B21" s="2" t="s">
        <v>17</v>
      </c>
      <c r="C21" s="2" t="s">
        <v>25</v>
      </c>
      <c r="D21" s="3">
        <v>45341</v>
      </c>
      <c r="E21" s="3"/>
      <c r="F21" s="2"/>
      <c r="G21" s="2"/>
      <c r="H21" s="6">
        <v>550000</v>
      </c>
      <c r="I21">
        <v>100</v>
      </c>
      <c r="J21" s="2" t="s">
        <v>13</v>
      </c>
      <c r="K21">
        <v>26</v>
      </c>
    </row>
    <row r="22" spans="1:11" x14ac:dyDescent="0.2">
      <c r="A22" s="2"/>
      <c r="B22" s="2"/>
      <c r="C22" s="2"/>
      <c r="D22" s="3"/>
      <c r="E22" s="3"/>
      <c r="F22" s="2"/>
      <c r="G22" s="1"/>
      <c r="I22" s="2"/>
    </row>
    <row r="23" spans="1:11" x14ac:dyDescent="0.2">
      <c r="A23" s="2"/>
      <c r="B23" s="2"/>
      <c r="C23" s="2"/>
      <c r="D23" s="3"/>
      <c r="E23" s="3"/>
      <c r="F23" s="2"/>
      <c r="G23" s="1"/>
      <c r="I23" s="2"/>
    </row>
    <row r="24" spans="1:11" x14ac:dyDescent="0.2">
      <c r="A24" s="2"/>
      <c r="B24" s="2"/>
      <c r="C24" s="2"/>
      <c r="D24" s="3"/>
      <c r="E24" s="3"/>
      <c r="F24" s="2"/>
      <c r="G24" s="1"/>
      <c r="I24" s="2"/>
    </row>
    <row r="25" spans="1:11" x14ac:dyDescent="0.2">
      <c r="A25" s="2"/>
      <c r="B25" s="2"/>
      <c r="C25" s="2"/>
      <c r="D25" s="3"/>
      <c r="E25" s="3"/>
      <c r="F25" s="2"/>
      <c r="G25" s="1"/>
      <c r="I25" s="2"/>
    </row>
    <row r="26" spans="1:11" x14ac:dyDescent="0.2">
      <c r="A26" s="2"/>
      <c r="B26" s="2"/>
      <c r="C26" s="2"/>
      <c r="D26" s="3"/>
      <c r="E26" s="3"/>
      <c r="F26" s="2"/>
      <c r="G26" s="1"/>
      <c r="I26" s="2"/>
    </row>
    <row r="27" spans="1:11" x14ac:dyDescent="0.2">
      <c r="A27" s="2"/>
      <c r="B27" s="2"/>
      <c r="C27" s="2"/>
      <c r="D27" s="3"/>
      <c r="E27" s="3"/>
      <c r="F27" s="2"/>
      <c r="G27" s="1"/>
      <c r="I27" s="2"/>
    </row>
    <row r="28" spans="1:11" x14ac:dyDescent="0.2">
      <c r="A28" s="2"/>
      <c r="B28" s="2"/>
      <c r="C28" s="2"/>
      <c r="D28" s="3"/>
      <c r="E28" s="3"/>
      <c r="F28" s="2"/>
      <c r="G28" s="1"/>
      <c r="I28" s="2"/>
    </row>
    <row r="29" spans="1:11" x14ac:dyDescent="0.2">
      <c r="A29" s="2"/>
      <c r="B29" s="2"/>
      <c r="C29" s="2"/>
      <c r="D29" s="3"/>
      <c r="E29" s="3"/>
      <c r="F29" s="2"/>
      <c r="G29" s="1"/>
      <c r="I29" s="2"/>
    </row>
    <row r="30" spans="1:11" x14ac:dyDescent="0.2">
      <c r="A30" s="2"/>
      <c r="B30" s="2"/>
      <c r="C30" s="2"/>
      <c r="D30" s="3"/>
      <c r="E30" s="3"/>
      <c r="F30" s="2"/>
      <c r="G30" s="1"/>
      <c r="I30" s="2"/>
    </row>
    <row r="31" spans="1:11" x14ac:dyDescent="0.2">
      <c r="A31" s="2"/>
      <c r="B31" s="2"/>
      <c r="C31" s="2"/>
      <c r="D31" s="3"/>
      <c r="E31" s="3"/>
      <c r="F31" s="2"/>
      <c r="G31" s="1"/>
      <c r="I31" s="2"/>
    </row>
    <row r="32" spans="1:11" x14ac:dyDescent="0.2">
      <c r="A32" s="2"/>
      <c r="B32" s="2"/>
      <c r="C32" s="2"/>
      <c r="D32" s="3"/>
      <c r="E32" s="3"/>
      <c r="F32" s="2"/>
      <c r="G32" s="1"/>
      <c r="I32" s="2"/>
    </row>
    <row r="33" spans="1:9" x14ac:dyDescent="0.2">
      <c r="A33" s="2"/>
      <c r="B33" s="2"/>
      <c r="C33" s="2"/>
      <c r="D33" s="3"/>
      <c r="E33" s="3"/>
      <c r="F33" s="2"/>
      <c r="G33" s="1"/>
      <c r="I33" s="2"/>
    </row>
    <row r="34" spans="1:9" x14ac:dyDescent="0.2">
      <c r="A34" s="2"/>
      <c r="B34" s="2"/>
      <c r="C34" s="2"/>
      <c r="D34" s="3"/>
      <c r="E34" s="3"/>
      <c r="F34" s="2"/>
      <c r="G34" s="1"/>
      <c r="I34" s="2"/>
    </row>
    <row r="35" spans="1:9" x14ac:dyDescent="0.2">
      <c r="A35" s="2"/>
      <c r="B35" s="2"/>
      <c r="C35" s="2"/>
      <c r="D35" s="3"/>
      <c r="E35" s="3"/>
      <c r="F35" s="2"/>
      <c r="G35" s="1"/>
      <c r="I35" s="2"/>
    </row>
    <row r="36" spans="1:9" x14ac:dyDescent="0.2">
      <c r="A36" s="2"/>
      <c r="B36" s="2"/>
      <c r="C36" s="2"/>
      <c r="D36" s="3"/>
      <c r="E36" s="3"/>
      <c r="F36" s="2"/>
      <c r="G36" s="1"/>
      <c r="I36" s="2"/>
    </row>
    <row r="37" spans="1:9" x14ac:dyDescent="0.2">
      <c r="A37" s="2"/>
      <c r="B37" s="2"/>
      <c r="C37" s="2"/>
      <c r="D37" s="3"/>
      <c r="E37" s="3"/>
      <c r="F37" s="2"/>
      <c r="G37" s="1"/>
      <c r="I37" s="2"/>
    </row>
    <row r="38" spans="1:9" x14ac:dyDescent="0.2">
      <c r="A38" s="2"/>
      <c r="B38" s="2"/>
      <c r="C38" s="2"/>
      <c r="D38" s="3"/>
      <c r="E38" s="3"/>
      <c r="F38" s="2"/>
      <c r="G38" s="1"/>
      <c r="I38" s="2"/>
    </row>
    <row r="39" spans="1:9" x14ac:dyDescent="0.2">
      <c r="A39" s="2"/>
      <c r="B39" s="2"/>
      <c r="C39" s="2"/>
      <c r="D39" s="3"/>
      <c r="E39" s="3"/>
      <c r="F39" s="2"/>
      <c r="G39" s="1"/>
      <c r="I39" s="2"/>
    </row>
    <row r="40" spans="1:9" x14ac:dyDescent="0.2">
      <c r="A40" s="2"/>
      <c r="B40" s="2"/>
      <c r="C40" s="2"/>
      <c r="D40" s="3"/>
      <c r="E40" s="3"/>
      <c r="F40" s="2"/>
      <c r="G40" s="1"/>
      <c r="I40" s="2"/>
    </row>
    <row r="41" spans="1:9" x14ac:dyDescent="0.2">
      <c r="A41" s="2"/>
      <c r="B41" s="2"/>
      <c r="C41" s="2"/>
      <c r="D41" s="3"/>
      <c r="E41" s="3"/>
      <c r="F41" s="2"/>
      <c r="G41" s="1"/>
      <c r="I41" s="2"/>
    </row>
    <row r="42" spans="1:9" x14ac:dyDescent="0.2">
      <c r="A42" s="2"/>
      <c r="B42" s="2"/>
      <c r="C42" s="2"/>
      <c r="D42" s="3"/>
      <c r="E42" s="3"/>
      <c r="F42" s="2"/>
      <c r="G42" s="1"/>
      <c r="I42" s="2"/>
    </row>
    <row r="43" spans="1:9" x14ac:dyDescent="0.2">
      <c r="A43" s="2"/>
      <c r="B43" s="2"/>
      <c r="C43" s="2"/>
      <c r="D43" s="3"/>
      <c r="E43" s="3"/>
      <c r="F43" s="2"/>
      <c r="G43" s="1"/>
      <c r="I43" s="2"/>
    </row>
    <row r="44" spans="1:9" x14ac:dyDescent="0.2">
      <c r="A44" s="2"/>
      <c r="B44" s="2"/>
      <c r="C44" s="2"/>
      <c r="D44" s="3"/>
      <c r="E44" s="3"/>
      <c r="F44" s="2"/>
      <c r="G44" s="1"/>
      <c r="I44" s="2"/>
    </row>
    <row r="45" spans="1:9" x14ac:dyDescent="0.2">
      <c r="A45" s="2"/>
      <c r="B45" s="2"/>
      <c r="C45" s="2"/>
      <c r="D45" s="3"/>
      <c r="E45" s="3"/>
      <c r="F45" s="2"/>
      <c r="G45" s="1"/>
      <c r="I45" s="2"/>
    </row>
    <row r="46" spans="1:9" x14ac:dyDescent="0.2">
      <c r="A46" s="2"/>
      <c r="B46" s="2"/>
      <c r="C46" s="2"/>
      <c r="D46" s="3"/>
      <c r="E46" s="3"/>
      <c r="F46" s="2"/>
      <c r="G46" s="1"/>
      <c r="I46" s="2"/>
    </row>
    <row r="47" spans="1:9" x14ac:dyDescent="0.2">
      <c r="A47" s="2"/>
      <c r="B47" s="2"/>
      <c r="C47" s="2"/>
      <c r="D47" s="3"/>
      <c r="E47" s="3"/>
      <c r="F47" s="2"/>
      <c r="G47" s="1"/>
      <c r="I47" s="2"/>
    </row>
    <row r="48" spans="1:9" x14ac:dyDescent="0.2">
      <c r="A48" s="2"/>
      <c r="B48" s="2"/>
      <c r="C48" s="2"/>
      <c r="D48" s="3"/>
      <c r="E48" s="3"/>
      <c r="F48" s="2"/>
      <c r="G48" s="1"/>
      <c r="I48" s="2"/>
    </row>
    <row r="49" spans="1:9" x14ac:dyDescent="0.2">
      <c r="A49" s="2"/>
      <c r="B49" s="2"/>
      <c r="C49" s="2"/>
      <c r="D49" s="3"/>
      <c r="E49" s="3"/>
      <c r="F49" s="2"/>
      <c r="G49" s="1"/>
      <c r="I49" s="2"/>
    </row>
    <row r="50" spans="1:9" x14ac:dyDescent="0.2">
      <c r="A50" s="2"/>
      <c r="B50" s="2"/>
      <c r="C50" s="2"/>
      <c r="D50" s="3"/>
      <c r="E50" s="3"/>
      <c r="F50" s="2"/>
      <c r="G50" s="1"/>
      <c r="I50" s="2"/>
    </row>
    <row r="51" spans="1:9" x14ac:dyDescent="0.2">
      <c r="A51" s="2"/>
      <c r="B51" s="2"/>
      <c r="C51" s="2"/>
      <c r="D51" s="3"/>
      <c r="E51" s="3"/>
      <c r="F51" s="2"/>
      <c r="G51" s="1"/>
      <c r="I51" s="2"/>
    </row>
    <row r="52" spans="1:9" x14ac:dyDescent="0.2">
      <c r="A52" s="2"/>
      <c r="B52" s="2"/>
      <c r="C52" s="2"/>
      <c r="D52" s="3"/>
      <c r="E52" s="3"/>
      <c r="F52" s="2"/>
      <c r="G52" s="1"/>
      <c r="I52" s="2"/>
    </row>
    <row r="53" spans="1:9" x14ac:dyDescent="0.2">
      <c r="A53" s="2"/>
      <c r="B53" s="2"/>
      <c r="C53" s="2"/>
      <c r="D53" s="3"/>
      <c r="E53" s="3"/>
      <c r="F53" s="2"/>
      <c r="G53" s="1"/>
      <c r="I53" s="2"/>
    </row>
    <row r="54" spans="1:9" x14ac:dyDescent="0.2">
      <c r="A54" s="2"/>
      <c r="B54" s="2"/>
      <c r="C54" s="2"/>
      <c r="D54" s="3"/>
      <c r="E54" s="3"/>
      <c r="F54" s="2"/>
      <c r="G54" s="1"/>
      <c r="I54" s="2"/>
    </row>
    <row r="55" spans="1:9" x14ac:dyDescent="0.2">
      <c r="A55" s="2"/>
      <c r="B55" s="2"/>
      <c r="C55" s="2"/>
      <c r="D55" s="3"/>
      <c r="E55" s="3"/>
      <c r="F55" s="2"/>
      <c r="G55" s="1"/>
      <c r="I55" s="2"/>
    </row>
    <row r="56" spans="1:9" x14ac:dyDescent="0.2">
      <c r="A56" s="2"/>
      <c r="B56" s="2"/>
      <c r="C56" s="2"/>
      <c r="D56" s="3"/>
      <c r="E56" s="3"/>
      <c r="F56" s="2"/>
      <c r="G56" s="1"/>
      <c r="I56" s="2"/>
    </row>
    <row r="57" spans="1:9" x14ac:dyDescent="0.2">
      <c r="A57" s="2"/>
      <c r="B57" s="2"/>
      <c r="C57" s="2"/>
      <c r="D57" s="3"/>
      <c r="E57" s="3"/>
      <c r="F57" s="2"/>
      <c r="G57" s="1"/>
      <c r="I57" s="2"/>
    </row>
    <row r="58" spans="1:9" x14ac:dyDescent="0.2">
      <c r="A58" s="2"/>
      <c r="B58" s="2"/>
      <c r="C58" s="2"/>
      <c r="D58" s="3"/>
      <c r="E58" s="3"/>
      <c r="F58" s="2"/>
      <c r="G58" s="1"/>
      <c r="I58" s="2"/>
    </row>
    <row r="59" spans="1:9" x14ac:dyDescent="0.2">
      <c r="A59" s="2"/>
      <c r="B59" s="2"/>
      <c r="C59" s="2"/>
      <c r="D59" s="3"/>
      <c r="E59" s="3"/>
      <c r="F59" s="2"/>
      <c r="G59" s="1"/>
      <c r="I59" s="2"/>
    </row>
    <row r="60" spans="1:9" x14ac:dyDescent="0.2">
      <c r="A60" s="2"/>
      <c r="B60" s="2"/>
      <c r="C60" s="2"/>
      <c r="D60" s="3"/>
      <c r="E60" s="3"/>
      <c r="F60" s="2"/>
      <c r="G60" s="1"/>
      <c r="I60" s="2"/>
    </row>
    <row r="61" spans="1:9" x14ac:dyDescent="0.2">
      <c r="A61" s="2"/>
      <c r="B61" s="2"/>
      <c r="C61" s="2"/>
      <c r="D61" s="3"/>
      <c r="E61" s="3"/>
      <c r="F61" s="2"/>
      <c r="G61" s="1"/>
      <c r="I61" s="2"/>
    </row>
    <row r="62" spans="1:9" x14ac:dyDescent="0.2">
      <c r="A62" s="2"/>
      <c r="B62" s="2"/>
      <c r="C62" s="2"/>
      <c r="D62" s="3"/>
      <c r="E62" s="3"/>
      <c r="F62" s="2"/>
      <c r="G62" s="1"/>
      <c r="I62" s="2"/>
    </row>
    <row r="63" spans="1:9" x14ac:dyDescent="0.2">
      <c r="A63" s="2"/>
      <c r="B63" s="2"/>
      <c r="C63" s="2"/>
      <c r="D63" s="3"/>
      <c r="E63" s="3"/>
      <c r="F63" s="2"/>
      <c r="G63" s="1"/>
      <c r="I63" s="2"/>
    </row>
    <row r="64" spans="1:9" x14ac:dyDescent="0.2">
      <c r="A64" s="2"/>
      <c r="B64" s="2"/>
      <c r="C64" s="2"/>
      <c r="D64" s="3"/>
      <c r="E64" s="3"/>
      <c r="F64" s="2"/>
      <c r="G64" s="1"/>
      <c r="I64" s="2"/>
    </row>
    <row r="65" spans="1:9" x14ac:dyDescent="0.2">
      <c r="A65" s="2"/>
      <c r="B65" s="2"/>
      <c r="C65" s="2"/>
      <c r="D65" s="3"/>
      <c r="E65" s="3"/>
      <c r="F65" s="2"/>
      <c r="G65" s="1"/>
      <c r="I65" s="2"/>
    </row>
    <row r="66" spans="1:9" x14ac:dyDescent="0.2">
      <c r="A66" s="2"/>
      <c r="B66" s="2"/>
      <c r="C66" s="2"/>
      <c r="D66" s="3"/>
      <c r="E66" s="3"/>
      <c r="F66" s="2"/>
      <c r="G66" s="1"/>
      <c r="I66" s="2"/>
    </row>
    <row r="67" spans="1:9" x14ac:dyDescent="0.2">
      <c r="A67" s="2"/>
      <c r="B67" s="2"/>
      <c r="C67" s="2"/>
      <c r="D67" s="3"/>
      <c r="E67" s="3"/>
      <c r="F67" s="2"/>
      <c r="G67" s="1"/>
      <c r="I67" s="2"/>
    </row>
    <row r="68" spans="1:9" x14ac:dyDescent="0.2">
      <c r="A68" s="2"/>
      <c r="B68" s="2"/>
      <c r="C68" s="2"/>
      <c r="D68" s="3"/>
      <c r="E68" s="3"/>
      <c r="F68" s="2"/>
      <c r="G68" s="1"/>
      <c r="I68" s="2"/>
    </row>
    <row r="69" spans="1:9" x14ac:dyDescent="0.2">
      <c r="A69" s="2"/>
      <c r="B69" s="2"/>
      <c r="C69" s="2"/>
      <c r="D69" s="3"/>
      <c r="E69" s="3"/>
      <c r="F69" s="2"/>
      <c r="G69" s="1"/>
      <c r="I69" s="2"/>
    </row>
    <row r="70" spans="1:9" x14ac:dyDescent="0.2">
      <c r="A70" s="2"/>
      <c r="B70" s="2"/>
      <c r="C70" s="2"/>
      <c r="D70" s="3"/>
      <c r="E70" s="3"/>
      <c r="F70" s="2"/>
      <c r="G70" s="1"/>
      <c r="I70" s="2"/>
    </row>
    <row r="71" spans="1:9" x14ac:dyDescent="0.2">
      <c r="A71" s="2"/>
      <c r="B71" s="2"/>
      <c r="C71" s="2"/>
      <c r="D71" s="3"/>
      <c r="E71" s="3"/>
      <c r="F71" s="2"/>
      <c r="G71" s="1"/>
      <c r="I71" s="2"/>
    </row>
    <row r="72" spans="1:9" x14ac:dyDescent="0.2">
      <c r="A72" s="2"/>
      <c r="B72" s="2"/>
      <c r="C72" s="2"/>
      <c r="D72" s="3"/>
      <c r="E72" s="3"/>
      <c r="F72" s="2"/>
      <c r="G72" s="1"/>
      <c r="I72" s="2"/>
    </row>
    <row r="73" spans="1:9" x14ac:dyDescent="0.2">
      <c r="A73" s="2"/>
      <c r="B73" s="2"/>
      <c r="C73" s="2"/>
      <c r="D73" s="3"/>
      <c r="E73" s="3"/>
      <c r="F73" s="2"/>
      <c r="G73" s="1"/>
      <c r="I73" s="2"/>
    </row>
    <row r="74" spans="1:9" x14ac:dyDescent="0.2">
      <c r="A74" s="2"/>
      <c r="B74" s="2"/>
      <c r="C74" s="2"/>
      <c r="D74" s="3"/>
      <c r="E74" s="3"/>
      <c r="F74" s="2"/>
      <c r="G74" s="1"/>
      <c r="I74" s="2"/>
    </row>
    <row r="75" spans="1:9" x14ac:dyDescent="0.2">
      <c r="A75" s="2"/>
      <c r="B75" s="2"/>
      <c r="C75" s="2"/>
      <c r="D75" s="3"/>
      <c r="E75" s="3"/>
      <c r="F75" s="2"/>
      <c r="G75" s="1"/>
      <c r="I75" s="2"/>
    </row>
    <row r="76" spans="1:9" x14ac:dyDescent="0.2">
      <c r="A76" s="2"/>
      <c r="B76" s="2"/>
      <c r="C76" s="2"/>
      <c r="D76" s="3"/>
      <c r="E76" s="3"/>
      <c r="F76" s="2"/>
      <c r="G76" s="1"/>
      <c r="I76" s="2"/>
    </row>
    <row r="77" spans="1:9" x14ac:dyDescent="0.2">
      <c r="A77" s="2"/>
      <c r="B77" s="2"/>
      <c r="C77" s="2"/>
      <c r="D77" s="3"/>
      <c r="E77" s="3"/>
      <c r="F77" s="2"/>
      <c r="G77" s="1"/>
      <c r="I77" s="2"/>
    </row>
    <row r="78" spans="1:9" x14ac:dyDescent="0.2">
      <c r="A78" s="2"/>
      <c r="B78" s="2"/>
      <c r="C78" s="2"/>
      <c r="D78" s="3"/>
      <c r="E78" s="3"/>
      <c r="F78" s="2"/>
      <c r="G78" s="1"/>
      <c r="I78" s="2"/>
    </row>
    <row r="79" spans="1:9" x14ac:dyDescent="0.2">
      <c r="A79" s="2"/>
      <c r="B79" s="2"/>
      <c r="C79" s="2"/>
      <c r="D79" s="3"/>
      <c r="E79" s="3"/>
      <c r="F79" s="2"/>
      <c r="G79" s="1"/>
      <c r="I79" s="2"/>
    </row>
    <row r="80" spans="1:9" x14ac:dyDescent="0.2">
      <c r="A80" s="2"/>
      <c r="B80" s="2"/>
      <c r="C80" s="2"/>
      <c r="D80" s="3"/>
      <c r="E80" s="3"/>
      <c r="F80" s="2"/>
      <c r="G80" s="1"/>
      <c r="I80" s="2"/>
    </row>
    <row r="81" spans="1:9" x14ac:dyDescent="0.2">
      <c r="A81" s="2"/>
      <c r="B81" s="2"/>
      <c r="C81" s="2"/>
      <c r="D81" s="3"/>
      <c r="E81" s="3"/>
      <c r="F81" s="2"/>
      <c r="G81" s="1"/>
      <c r="I81" s="2"/>
    </row>
    <row r="82" spans="1:9" x14ac:dyDescent="0.2">
      <c r="A82" s="2"/>
      <c r="B82" s="2"/>
      <c r="C82" s="2"/>
      <c r="D82" s="3"/>
      <c r="E82" s="3"/>
      <c r="F82" s="2"/>
      <c r="G82" s="1"/>
      <c r="I82" s="2"/>
    </row>
    <row r="83" spans="1:9" x14ac:dyDescent="0.2">
      <c r="A83" s="2"/>
      <c r="B83" s="2"/>
      <c r="C83" s="2"/>
      <c r="D83" s="3"/>
      <c r="E83" s="3"/>
      <c r="F83" s="2"/>
      <c r="G83" s="1"/>
      <c r="I83" s="2"/>
    </row>
    <row r="84" spans="1:9" x14ac:dyDescent="0.2">
      <c r="A84" s="2"/>
      <c r="B84" s="2"/>
      <c r="C84" s="2"/>
      <c r="D84" s="3"/>
      <c r="E84" s="3"/>
      <c r="F84" s="2"/>
      <c r="G84" s="1"/>
      <c r="I84" s="2"/>
    </row>
    <row r="85" spans="1:9" x14ac:dyDescent="0.2">
      <c r="A85" s="2"/>
      <c r="B85" s="2"/>
      <c r="C85" s="2"/>
      <c r="D85" s="3"/>
      <c r="E85" s="3"/>
      <c r="F85" s="2"/>
      <c r="G85" s="1"/>
      <c r="I85" s="2"/>
    </row>
  </sheetData>
  <dataValidations count="5">
    <dataValidation type="list" allowBlank="1" showInputMessage="1" showErrorMessage="1" sqref="J1 J2:J21" xr:uid="{FF43DA85-E1A2-1D41-BD90-57AF05B9040C}">
      <formula1>"strukturert,ustrukturert"</formula1>
    </dataValidation>
    <dataValidation type="list" allowBlank="1" showInputMessage="1" showErrorMessage="1" sqref="B1 B22:B1048576" xr:uid="{6F2C7F69-902E-0541-95BA-208B000622D8}">
      <formula1>"teknologi, produktutvikling, salg, kundesuksess, markedsføring,økonomi og hr,ledergruppen"</formula1>
    </dataValidation>
    <dataValidation type="list" allowBlank="1" showInputMessage="1" showErrorMessage="1" sqref="F1 F2:F21" xr:uid="{FDAD74A7-9B29-6548-B663-F1CD038BF50E}">
      <formula1>"frivillig,ufrivillig,pensjon"</formula1>
    </dataValidation>
    <dataValidation type="list" allowBlank="1" showInputMessage="1" showErrorMessage="1" sqref="G1 G22:G1048576 G2:G21" xr:uid="{5577678F-47C9-B74C-8C42-67FD01D67979}">
      <formula1>"ja,nei"</formula1>
    </dataValidation>
    <dataValidation type="list" allowBlank="1" showInputMessage="1" showErrorMessage="1" sqref="B2:B21" xr:uid="{5FC2B976-60CF-C845-ACE5-87FF8DC3F741}">
      <formula1>"teknologi, produktutvikling,salg,kundesuksess,markedsføring,økonomi og hr,ledergruppen"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578E-51C3-E74D-8586-D677BF98C040}">
  <dimension ref="A1:E15"/>
  <sheetViews>
    <sheetView workbookViewId="0">
      <selection activeCell="A3" sqref="A3"/>
    </sheetView>
  </sheetViews>
  <sheetFormatPr baseColWidth="10" defaultRowHeight="16" x14ac:dyDescent="0.2"/>
  <cols>
    <col min="1" max="1" width="15" customWidth="1"/>
    <col min="2" max="2" width="14.33203125" style="7" customWidth="1"/>
    <col min="3" max="3" width="17.5" customWidth="1"/>
    <col min="4" max="4" width="22.5" customWidth="1"/>
    <col min="5" max="5" width="22.6640625" customWidth="1"/>
  </cols>
  <sheetData>
    <row r="1" spans="1:5" x14ac:dyDescent="0.2">
      <c r="A1" t="s">
        <v>2</v>
      </c>
      <c r="B1" s="7" t="s">
        <v>52</v>
      </c>
      <c r="C1" t="s">
        <v>53</v>
      </c>
      <c r="D1" t="s">
        <v>54</v>
      </c>
      <c r="E1" t="s">
        <v>55</v>
      </c>
    </row>
    <row r="2" spans="1:5" x14ac:dyDescent="0.2">
      <c r="A2" t="s">
        <v>20</v>
      </c>
      <c r="B2" s="7" t="s">
        <v>56</v>
      </c>
      <c r="C2">
        <v>1785</v>
      </c>
      <c r="D2">
        <v>18</v>
      </c>
      <c r="E2">
        <v>41</v>
      </c>
    </row>
    <row r="3" spans="1:5" x14ac:dyDescent="0.2">
      <c r="A3" t="s">
        <v>64</v>
      </c>
      <c r="B3" s="7" t="s">
        <v>56</v>
      </c>
      <c r="C3">
        <v>420</v>
      </c>
      <c r="D3">
        <v>5</v>
      </c>
      <c r="E3">
        <v>12</v>
      </c>
    </row>
    <row r="4" spans="1:5" x14ac:dyDescent="0.2">
      <c r="A4" t="s">
        <v>15</v>
      </c>
      <c r="B4" s="7" t="s">
        <v>56</v>
      </c>
      <c r="C4">
        <v>840</v>
      </c>
      <c r="D4">
        <v>14</v>
      </c>
      <c r="E4">
        <v>32</v>
      </c>
    </row>
    <row r="5" spans="1:5" x14ac:dyDescent="0.2">
      <c r="A5" t="s">
        <v>17</v>
      </c>
      <c r="B5" s="7" t="s">
        <v>56</v>
      </c>
      <c r="C5">
        <v>945</v>
      </c>
      <c r="D5">
        <v>17</v>
      </c>
      <c r="E5">
        <v>54</v>
      </c>
    </row>
    <row r="6" spans="1:5" x14ac:dyDescent="0.2">
      <c r="A6" t="s">
        <v>40</v>
      </c>
      <c r="B6" s="7" t="s">
        <v>56</v>
      </c>
      <c r="C6">
        <v>378</v>
      </c>
      <c r="D6">
        <v>6</v>
      </c>
      <c r="E6">
        <v>11</v>
      </c>
    </row>
    <row r="7" spans="1:5" x14ac:dyDescent="0.2">
      <c r="A7" t="s">
        <v>58</v>
      </c>
      <c r="B7" s="7" t="s">
        <v>56</v>
      </c>
      <c r="C7">
        <v>336</v>
      </c>
      <c r="D7">
        <v>5</v>
      </c>
      <c r="E7">
        <v>10</v>
      </c>
    </row>
    <row r="8" spans="1:5" x14ac:dyDescent="0.2">
      <c r="A8" t="s">
        <v>49</v>
      </c>
      <c r="B8" s="7" t="s">
        <v>56</v>
      </c>
      <c r="C8">
        <v>84</v>
      </c>
      <c r="D8">
        <v>1</v>
      </c>
      <c r="E8">
        <v>0</v>
      </c>
    </row>
    <row r="9" spans="1:5" x14ac:dyDescent="0.2">
      <c r="A9" t="s">
        <v>20</v>
      </c>
      <c r="B9" s="7" t="s">
        <v>57</v>
      </c>
      <c r="C9">
        <v>1870</v>
      </c>
      <c r="D9">
        <v>24</v>
      </c>
      <c r="E9">
        <v>43</v>
      </c>
    </row>
    <row r="10" spans="1:5" x14ac:dyDescent="0.2">
      <c r="A10" t="s">
        <v>64</v>
      </c>
      <c r="B10" s="7" t="s">
        <v>57</v>
      </c>
      <c r="C10">
        <v>440</v>
      </c>
      <c r="D10">
        <v>7</v>
      </c>
      <c r="E10">
        <v>12</v>
      </c>
    </row>
    <row r="11" spans="1:5" x14ac:dyDescent="0.2">
      <c r="A11" t="s">
        <v>15</v>
      </c>
      <c r="B11" s="7" t="s">
        <v>57</v>
      </c>
      <c r="C11">
        <v>880</v>
      </c>
      <c r="D11">
        <v>18</v>
      </c>
      <c r="E11">
        <v>33</v>
      </c>
    </row>
    <row r="12" spans="1:5" x14ac:dyDescent="0.2">
      <c r="A12" t="s">
        <v>17</v>
      </c>
      <c r="B12" s="7" t="s">
        <v>57</v>
      </c>
      <c r="C12">
        <v>990</v>
      </c>
      <c r="D12">
        <v>22</v>
      </c>
      <c r="E12">
        <v>64</v>
      </c>
    </row>
    <row r="13" spans="1:5" x14ac:dyDescent="0.2">
      <c r="A13" t="s">
        <v>40</v>
      </c>
      <c r="B13" s="7" t="s">
        <v>57</v>
      </c>
      <c r="C13">
        <v>396</v>
      </c>
      <c r="D13">
        <v>7</v>
      </c>
      <c r="E13">
        <v>12</v>
      </c>
    </row>
    <row r="14" spans="1:5" x14ac:dyDescent="0.2">
      <c r="A14" t="s">
        <v>58</v>
      </c>
      <c r="B14" s="7" t="s">
        <v>57</v>
      </c>
      <c r="C14">
        <v>352</v>
      </c>
      <c r="D14">
        <v>6</v>
      </c>
      <c r="E14">
        <v>10</v>
      </c>
    </row>
    <row r="15" spans="1:5" x14ac:dyDescent="0.2">
      <c r="A15" t="s">
        <v>49</v>
      </c>
      <c r="B15" s="7" t="s">
        <v>57</v>
      </c>
      <c r="C15">
        <v>88</v>
      </c>
      <c r="D15">
        <v>1</v>
      </c>
      <c r="E15">
        <v>0</v>
      </c>
    </row>
  </sheetData>
  <dataValidations count="1">
    <dataValidation type="list" allowBlank="1" showInputMessage="1" showErrorMessage="1" sqref="A1:A15" xr:uid="{55999941-AC0D-9241-8C93-CEE0FBDAF786}">
      <formula1>"teknologi, produktutvikling,salg,kundesuksess,markedsføring,økonomi og hr,ledergruppen"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F97-D6BA-A247-9B7C-8DF1382BBA92}">
  <dimension ref="A1:D15"/>
  <sheetViews>
    <sheetView workbookViewId="0">
      <selection activeCell="A7" sqref="A7"/>
    </sheetView>
  </sheetViews>
  <sheetFormatPr baseColWidth="10" defaultRowHeight="16" x14ac:dyDescent="0.2"/>
  <cols>
    <col min="1" max="1" width="26" customWidth="1"/>
    <col min="2" max="2" width="12.6640625" customWidth="1"/>
    <col min="3" max="3" width="12.1640625" customWidth="1"/>
    <col min="4" max="4" width="18.5" customWidth="1"/>
  </cols>
  <sheetData>
    <row r="1" spans="1:4" x14ac:dyDescent="0.2">
      <c r="A1" t="s">
        <v>2</v>
      </c>
      <c r="B1" t="s">
        <v>59</v>
      </c>
      <c r="C1" t="s">
        <v>60</v>
      </c>
      <c r="D1" t="s">
        <v>61</v>
      </c>
    </row>
    <row r="2" spans="1:4" x14ac:dyDescent="0.2">
      <c r="A2" t="s">
        <v>20</v>
      </c>
      <c r="B2" t="s">
        <v>62</v>
      </c>
      <c r="C2">
        <v>24</v>
      </c>
      <c r="D2">
        <v>70</v>
      </c>
    </row>
    <row r="3" spans="1:4" x14ac:dyDescent="0.2">
      <c r="A3" t="s">
        <v>64</v>
      </c>
      <c r="B3" t="s">
        <v>62</v>
      </c>
      <c r="C3">
        <v>20</v>
      </c>
      <c r="D3">
        <v>17</v>
      </c>
    </row>
    <row r="4" spans="1:4" x14ac:dyDescent="0.2">
      <c r="A4" t="s">
        <v>15</v>
      </c>
      <c r="B4" t="s">
        <v>62</v>
      </c>
      <c r="C4">
        <v>8</v>
      </c>
      <c r="D4">
        <v>33</v>
      </c>
    </row>
    <row r="5" spans="1:4" x14ac:dyDescent="0.2">
      <c r="A5" t="s">
        <v>17</v>
      </c>
      <c r="B5" t="s">
        <v>62</v>
      </c>
      <c r="C5">
        <v>5</v>
      </c>
      <c r="D5">
        <v>38</v>
      </c>
    </row>
    <row r="6" spans="1:4" x14ac:dyDescent="0.2">
      <c r="A6" t="s">
        <v>40</v>
      </c>
      <c r="B6" t="s">
        <v>62</v>
      </c>
      <c r="C6">
        <v>15</v>
      </c>
      <c r="D6">
        <v>15</v>
      </c>
    </row>
    <row r="7" spans="1:4" x14ac:dyDescent="0.2">
      <c r="A7" t="s">
        <v>58</v>
      </c>
      <c r="B7" t="s">
        <v>62</v>
      </c>
      <c r="C7">
        <v>18</v>
      </c>
      <c r="D7">
        <v>14</v>
      </c>
    </row>
    <row r="8" spans="1:4" x14ac:dyDescent="0.2">
      <c r="A8" t="s">
        <v>49</v>
      </c>
      <c r="B8" t="s">
        <v>62</v>
      </c>
      <c r="C8">
        <v>40</v>
      </c>
      <c r="D8">
        <v>4</v>
      </c>
    </row>
    <row r="9" spans="1:4" x14ac:dyDescent="0.2">
      <c r="A9" t="s">
        <v>20</v>
      </c>
      <c r="B9" t="s">
        <v>63</v>
      </c>
      <c r="C9">
        <v>22</v>
      </c>
      <c r="D9">
        <v>72</v>
      </c>
    </row>
    <row r="10" spans="1:4" x14ac:dyDescent="0.2">
      <c r="A10" t="s">
        <v>64</v>
      </c>
      <c r="B10" t="s">
        <v>63</v>
      </c>
      <c r="C10">
        <v>23</v>
      </c>
      <c r="D10">
        <v>18</v>
      </c>
    </row>
    <row r="11" spans="1:4" x14ac:dyDescent="0.2">
      <c r="A11" t="s">
        <v>15</v>
      </c>
      <c r="B11" t="s">
        <v>63</v>
      </c>
      <c r="C11">
        <v>2</v>
      </c>
      <c r="D11">
        <v>35</v>
      </c>
    </row>
    <row r="12" spans="1:4" x14ac:dyDescent="0.2">
      <c r="A12" t="s">
        <v>17</v>
      </c>
      <c r="B12" t="s">
        <v>63</v>
      </c>
      <c r="C12">
        <v>-15</v>
      </c>
      <c r="D12">
        <v>40</v>
      </c>
    </row>
    <row r="13" spans="1:4" x14ac:dyDescent="0.2">
      <c r="A13" t="s">
        <v>40</v>
      </c>
      <c r="B13" t="s">
        <v>63</v>
      </c>
      <c r="C13">
        <v>18</v>
      </c>
      <c r="D13">
        <v>16</v>
      </c>
    </row>
    <row r="14" spans="1:4" x14ac:dyDescent="0.2">
      <c r="A14" t="s">
        <v>58</v>
      </c>
      <c r="B14" t="s">
        <v>63</v>
      </c>
      <c r="C14">
        <v>20</v>
      </c>
      <c r="D14">
        <v>15</v>
      </c>
    </row>
    <row r="15" spans="1:4" x14ac:dyDescent="0.2">
      <c r="A15" t="s">
        <v>49</v>
      </c>
      <c r="B15" t="s">
        <v>63</v>
      </c>
      <c r="C15">
        <v>40</v>
      </c>
      <c r="D15">
        <v>4</v>
      </c>
    </row>
  </sheetData>
  <dataValidations count="1">
    <dataValidation type="list" allowBlank="1" showInputMessage="1" showErrorMessage="1" sqref="A1:A1048576" xr:uid="{51E940F6-F222-4C44-9596-8C9C081663A5}">
      <formula1>"teknologi, produktutvikling,salg,kundesuksess,markedsføring,økonomi og hr,ledergruppen"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E311-A518-BF4C-8BB4-EC4CDD8C9D14}">
  <dimension ref="A1:D17"/>
  <sheetViews>
    <sheetView tabSelected="1" workbookViewId="0">
      <selection activeCell="B4" sqref="B4"/>
    </sheetView>
  </sheetViews>
  <sheetFormatPr baseColWidth="10" defaultRowHeight="16" x14ac:dyDescent="0.2"/>
  <cols>
    <col min="1" max="1" width="27.6640625" customWidth="1"/>
    <col min="2" max="2" width="31" customWidth="1"/>
    <col min="3" max="3" width="32" customWidth="1"/>
    <col min="4" max="4" width="32.6640625" customWidth="1"/>
  </cols>
  <sheetData>
    <row r="1" spans="1:4" x14ac:dyDescent="0.2">
      <c r="A1" s="8" t="s">
        <v>66</v>
      </c>
      <c r="B1" s="8" t="s">
        <v>67</v>
      </c>
      <c r="C1" s="8" t="s">
        <v>68</v>
      </c>
      <c r="D1" s="8" t="s">
        <v>69</v>
      </c>
    </row>
    <row r="2" spans="1:4" x14ac:dyDescent="0.2">
      <c r="A2" t="s">
        <v>75</v>
      </c>
      <c r="B2" t="s">
        <v>76</v>
      </c>
      <c r="C2">
        <f>COUNTIF(Ansatte[sluttdato],"&lt;&gt;")</f>
        <v>8</v>
      </c>
      <c r="D2" t="s">
        <v>77</v>
      </c>
    </row>
    <row r="3" spans="1:4" x14ac:dyDescent="0.2">
      <c r="A3" t="s">
        <v>78</v>
      </c>
      <c r="B3" t="s">
        <v>79</v>
      </c>
      <c r="C3">
        <f>COUNTIF(Ansatte[sluttårsak],"frivillig")</f>
        <v>6</v>
      </c>
      <c r="D3" t="s">
        <v>77</v>
      </c>
    </row>
    <row r="4" spans="1:4" x14ac:dyDescent="0.2">
      <c r="A4" t="s">
        <v>80</v>
      </c>
      <c r="B4" t="s">
        <v>81</v>
      </c>
      <c r="C4">
        <f>COUNTIF(Ansatte[uønsket],"ja")</f>
        <v>5</v>
      </c>
      <c r="D4" t="s">
        <v>77</v>
      </c>
    </row>
    <row r="5" spans="1:4" x14ac:dyDescent="0.2">
      <c r="A5" t="s">
        <v>82</v>
      </c>
      <c r="B5" t="s">
        <v>83</v>
      </c>
      <c r="C5">
        <f>COUNTIFS(Ansatte[ansattdato], "&lt;"&amp;DATE(2025,10,1))</f>
        <v>20</v>
      </c>
      <c r="D5" t="s">
        <v>84</v>
      </c>
    </row>
    <row r="6" spans="1:4" x14ac:dyDescent="0.2">
      <c r="A6" t="s">
        <v>85</v>
      </c>
      <c r="B6" t="s">
        <v>86</v>
      </c>
      <c r="C6">
        <f>COUNTIFS(Ansatte[ansatt_id], "&lt;&gt;",Ansatte[sluttdato],"")</f>
        <v>12</v>
      </c>
      <c r="D6" t="s">
        <v>84</v>
      </c>
    </row>
    <row r="7" spans="1:4" x14ac:dyDescent="0.2">
      <c r="A7" t="s">
        <v>87</v>
      </c>
      <c r="B7" t="s">
        <v>88</v>
      </c>
      <c r="C7">
        <f>(C5+C6)/2</f>
        <v>16</v>
      </c>
      <c r="D7" t="s">
        <v>84</v>
      </c>
    </row>
    <row r="8" spans="1:4" x14ac:dyDescent="0.2">
      <c r="A8" t="s">
        <v>89</v>
      </c>
      <c r="B8" t="s">
        <v>90</v>
      </c>
      <c r="C8" s="9">
        <f>C2/C7</f>
        <v>0.5</v>
      </c>
      <c r="D8" t="s">
        <v>77</v>
      </c>
    </row>
    <row r="9" spans="1:4" x14ac:dyDescent="0.2">
      <c r="A9" t="s">
        <v>91</v>
      </c>
      <c r="B9" t="s">
        <v>92</v>
      </c>
      <c r="C9" s="9">
        <f>C3/C7</f>
        <v>0.375</v>
      </c>
      <c r="D9" t="s">
        <v>77</v>
      </c>
    </row>
    <row r="10" spans="1:4" x14ac:dyDescent="0.2">
      <c r="A10" t="s">
        <v>93</v>
      </c>
      <c r="B10" t="s">
        <v>94</v>
      </c>
      <c r="C10" s="9">
        <f>C4/C7</f>
        <v>0.3125</v>
      </c>
      <c r="D10" t="s">
        <v>77</v>
      </c>
    </row>
    <row r="11" spans="1:4" x14ac:dyDescent="0.2">
      <c r="A11" t="s">
        <v>95</v>
      </c>
      <c r="B11" t="s">
        <v>96</v>
      </c>
      <c r="C11" s="10">
        <f>SUMIF(Ansatte[uønsket],"ja",Ansatte[årslønn])*0.75</f>
        <v>2700000</v>
      </c>
      <c r="D11" t="s">
        <v>97</v>
      </c>
    </row>
    <row r="12" spans="1:4" x14ac:dyDescent="0.2">
      <c r="A12" t="s">
        <v>98</v>
      </c>
      <c r="B12" t="s">
        <v>99</v>
      </c>
      <c r="C12" s="9">
        <f>(SUM(Fravær[tapte_dagsverk_korttid])+SUM(Fravær[tapte_dagsverk_langtid]))/SUM(Fravær[avtalte_dagsverk])</f>
        <v>4.9469604243166057E-2</v>
      </c>
      <c r="D12" t="s">
        <v>100</v>
      </c>
    </row>
    <row r="13" spans="1:4" x14ac:dyDescent="0.2">
      <c r="A13" t="s">
        <v>101</v>
      </c>
      <c r="B13" t="s">
        <v>102</v>
      </c>
      <c r="C13" s="9">
        <f>SUM(Fravær[tapte_dagsverk_langtid])/SUM(Fravær[avtalte_dagsverk])</f>
        <v>3.4067727458180333E-2</v>
      </c>
      <c r="D13" t="s">
        <v>100</v>
      </c>
    </row>
    <row r="14" spans="1:4" x14ac:dyDescent="0.2">
      <c r="A14" t="s">
        <v>103</v>
      </c>
      <c r="B14" t="s">
        <v>104</v>
      </c>
      <c r="C14">
        <f>MEDIAN(Ansatte[dager_til_ansettelse])</f>
        <v>42.5</v>
      </c>
      <c r="D14" t="s">
        <v>105</v>
      </c>
    </row>
    <row r="17" spans="3:3" x14ac:dyDescent="0.2">
      <c r="C1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1172-B4B5-1644-9C19-8ED40A2FC533}">
  <dimension ref="A1:B8"/>
  <sheetViews>
    <sheetView workbookViewId="0">
      <selection activeCell="D46" sqref="D46"/>
    </sheetView>
  </sheetViews>
  <sheetFormatPr baseColWidth="10" defaultRowHeight="16" x14ac:dyDescent="0.2"/>
  <cols>
    <col min="1" max="1" width="13" bestFit="1" customWidth="1"/>
    <col min="2" max="2" width="16.33203125" bestFit="1" customWidth="1"/>
  </cols>
  <sheetData>
    <row r="1" spans="1:2" x14ac:dyDescent="0.2">
      <c r="A1" s="11" t="s">
        <v>11</v>
      </c>
      <c r="B1" t="s">
        <v>74</v>
      </c>
    </row>
    <row r="3" spans="1:2" x14ac:dyDescent="0.2">
      <c r="A3" s="11" t="s">
        <v>106</v>
      </c>
      <c r="B3" t="s">
        <v>108</v>
      </c>
    </row>
    <row r="4" spans="1:2" x14ac:dyDescent="0.2">
      <c r="A4" s="1" t="s">
        <v>17</v>
      </c>
      <c r="B4" s="12">
        <v>1</v>
      </c>
    </row>
    <row r="5" spans="1:2" x14ac:dyDescent="0.2">
      <c r="A5" s="1" t="s">
        <v>40</v>
      </c>
      <c r="B5" s="12">
        <v>1</v>
      </c>
    </row>
    <row r="6" spans="1:2" x14ac:dyDescent="0.2">
      <c r="A6" s="1" t="s">
        <v>15</v>
      </c>
      <c r="B6" s="12">
        <v>2</v>
      </c>
    </row>
    <row r="7" spans="1:2" x14ac:dyDescent="0.2">
      <c r="A7" s="1" t="s">
        <v>20</v>
      </c>
      <c r="B7" s="12">
        <v>1</v>
      </c>
    </row>
    <row r="8" spans="1:2" x14ac:dyDescent="0.2">
      <c r="A8" s="1" t="s">
        <v>107</v>
      </c>
      <c r="B8" s="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Ansatte</vt:lpstr>
      <vt:lpstr>Fravær</vt:lpstr>
      <vt:lpstr>Engasjement</vt:lpstr>
      <vt:lpstr>Definisjoner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2026-10-09T07:19:54Z</dcterms:created>
  <dcterms:modified xsi:type="dcterms:W3CDTF">2026-10-09T10:47:01Z</dcterms:modified>
</cp:coreProperties>
</file>